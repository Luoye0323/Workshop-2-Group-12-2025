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ORKSHOP2\"/>
    </mc:Choice>
  </mc:AlternateContent>
  <xr:revisionPtr revIDLastSave="0" documentId="8_{7EAA65D0-A20F-4700-954F-6603F719EA90}" xr6:coauthVersionLast="47" xr6:coauthVersionMax="47" xr10:uidLastSave="{00000000-0000-0000-0000-000000000000}"/>
  <bookViews>
    <workbookView xWindow="-108" yWindow="-108" windowWidth="23256" windowHeight="12456" xr2:uid="{5745F932-4926-4AF6-B7F3-EE2DFFFC06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2" i="1" l="1"/>
  <c r="O32" i="1"/>
  <c r="N32" i="1"/>
  <c r="Q32" i="1" s="1"/>
  <c r="J32" i="1"/>
  <c r="I32" i="1"/>
  <c r="H32" i="1"/>
  <c r="K32" i="1" s="1"/>
  <c r="D32" i="1"/>
  <c r="C32" i="1"/>
  <c r="B32" i="1"/>
  <c r="E32" i="1" s="1"/>
  <c r="Q31" i="1"/>
  <c r="K31" i="1"/>
  <c r="E31" i="1"/>
  <c r="Q30" i="1"/>
  <c r="K30" i="1"/>
  <c r="E30" i="1"/>
  <c r="Q29" i="1"/>
  <c r="K29" i="1"/>
  <c r="E29" i="1"/>
  <c r="Q21" i="1"/>
  <c r="P21" i="1"/>
  <c r="O21" i="1"/>
  <c r="N21" i="1"/>
  <c r="J21" i="1"/>
  <c r="I21" i="1"/>
  <c r="H21" i="1"/>
  <c r="K21" i="1" s="1"/>
  <c r="E21" i="1"/>
  <c r="D21" i="1"/>
  <c r="C21" i="1"/>
  <c r="B21" i="1"/>
  <c r="Q20" i="1"/>
  <c r="K20" i="1"/>
  <c r="E20" i="1"/>
  <c r="Q19" i="1"/>
  <c r="K19" i="1"/>
  <c r="E19" i="1"/>
  <c r="Q18" i="1"/>
  <c r="K18" i="1"/>
  <c r="E18" i="1"/>
  <c r="V10" i="1"/>
  <c r="U10" i="1"/>
  <c r="T10" i="1"/>
  <c r="W10" i="1" s="1"/>
  <c r="P10" i="1"/>
  <c r="O10" i="1"/>
  <c r="N10" i="1"/>
  <c r="Q10" i="1" s="1"/>
  <c r="J10" i="1"/>
  <c r="I10" i="1"/>
  <c r="H10" i="1"/>
  <c r="K10" i="1" s="1"/>
  <c r="D10" i="1"/>
  <c r="C10" i="1"/>
  <c r="B10" i="1"/>
  <c r="E10" i="1" s="1"/>
  <c r="W9" i="1"/>
  <c r="Q9" i="1"/>
  <c r="K9" i="1"/>
  <c r="E9" i="1"/>
  <c r="W8" i="1"/>
  <c r="Q8" i="1"/>
  <c r="K8" i="1"/>
  <c r="E8" i="1"/>
  <c r="W7" i="1"/>
  <c r="Q7" i="1"/>
  <c r="K7" i="1"/>
  <c r="E7" i="1"/>
</calcChain>
</file>

<file path=xl/sharedStrings.xml><?xml version="1.0" encoding="utf-8"?>
<sst xmlns="http://schemas.openxmlformats.org/spreadsheetml/2006/main" count="150" uniqueCount="24">
  <si>
    <t>Model</t>
  </si>
  <si>
    <t>Gemini 2.5 Pro</t>
  </si>
  <si>
    <t>Tag:V001</t>
  </si>
  <si>
    <t>T1</t>
  </si>
  <si>
    <t>T2</t>
  </si>
  <si>
    <t>T3</t>
  </si>
  <si>
    <t>AVG</t>
  </si>
  <si>
    <t>Tag:V004</t>
  </si>
  <si>
    <t>Tag:H001</t>
  </si>
  <si>
    <t>Tag:H004</t>
  </si>
  <si>
    <t>Correct Fields</t>
  </si>
  <si>
    <t>Total Fields</t>
  </si>
  <si>
    <t>Missing Fields Detected</t>
  </si>
  <si>
    <t>Total Missing Fields</t>
  </si>
  <si>
    <t>Response Time(s)</t>
  </si>
  <si>
    <t>Prompt Tokens</t>
  </si>
  <si>
    <t>Completion Tokens</t>
  </si>
  <si>
    <t>Total Tokens</t>
  </si>
  <si>
    <t>Tag:V002</t>
  </si>
  <si>
    <t>Tag:V005</t>
  </si>
  <si>
    <t>Tag:H002</t>
  </si>
  <si>
    <t>Tag:V003</t>
  </si>
  <si>
    <t>Tag:V006</t>
  </si>
  <si>
    <t>Tag:H003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</si>
</sst>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2" borderId="2" xfId="0" applyFill="1" applyBorder="1"/>
    <xf numFmtId="0" fontId="1" fillId="2" borderId="1" xfId="0" applyFont="1" applyFill="1" applyBorder="1"/>
    <xf numFmtId="0" fontId="0" fillId="0" borderId="1" xfId="0" applyBorder="1"/>
    <xf numFmtId="9" fontId="0" fillId="0" borderId="3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/>
    <xf numFmtId="0" fontId="0" fillId="0" borderId="4" xfId="0" applyBorder="1"/>
    <xf numFmtId="10" fontId="0" fillId="0" borderId="3" xfId="0" applyNumberForma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E64CB-C1F8-4468-9EC6-BA46C366E933}">
  <dimension ref="A1:W32"/>
  <sheetViews>
    <sheetView tabSelected="1" workbookViewId="0">
      <selection activeCell="L13" sqref="L13"/>
    </sheetView>
  </sheetViews>
  <sheetFormatPr defaultRowHeight="14.4" x14ac:dyDescent="0.3"/>
  <sheetData>
    <row r="1" spans="1:23" x14ac:dyDescent="0.3">
      <c r="A1" s="1" t="s">
        <v>0</v>
      </c>
      <c r="B1" s="2" t="s">
        <v>1</v>
      </c>
      <c r="C1" s="2"/>
      <c r="D1" s="2"/>
      <c r="E1" s="2"/>
      <c r="G1" s="1" t="s">
        <v>0</v>
      </c>
      <c r="H1" s="2" t="s">
        <v>1</v>
      </c>
      <c r="I1" s="2"/>
      <c r="J1" s="2"/>
      <c r="K1" s="2"/>
      <c r="M1" s="1" t="s">
        <v>0</v>
      </c>
      <c r="N1" s="2" t="s">
        <v>1</v>
      </c>
      <c r="O1" s="2"/>
      <c r="P1" s="2"/>
      <c r="Q1" s="2"/>
      <c r="S1" s="1" t="s">
        <v>0</v>
      </c>
      <c r="T1" s="2" t="s">
        <v>1</v>
      </c>
      <c r="U1" s="2"/>
      <c r="V1" s="2"/>
      <c r="W1" s="2"/>
    </row>
    <row r="2" spans="1:23" x14ac:dyDescent="0.3">
      <c r="A2" s="3" t="s">
        <v>2</v>
      </c>
      <c r="B2" s="1" t="s">
        <v>3</v>
      </c>
      <c r="C2" s="1" t="s">
        <v>4</v>
      </c>
      <c r="D2" s="1" t="s">
        <v>5</v>
      </c>
      <c r="E2" s="4" t="s">
        <v>6</v>
      </c>
      <c r="G2" s="3" t="s">
        <v>7</v>
      </c>
      <c r="H2" s="1" t="s">
        <v>3</v>
      </c>
      <c r="I2" s="1" t="s">
        <v>4</v>
      </c>
      <c r="J2" s="1" t="s">
        <v>5</v>
      </c>
      <c r="K2" s="4" t="s">
        <v>6</v>
      </c>
      <c r="M2" s="3" t="s">
        <v>8</v>
      </c>
      <c r="N2" s="1" t="s">
        <v>3</v>
      </c>
      <c r="O2" s="1" t="s">
        <v>4</v>
      </c>
      <c r="P2" s="1" t="s">
        <v>5</v>
      </c>
      <c r="Q2" s="4" t="s">
        <v>6</v>
      </c>
      <c r="S2" s="3" t="s">
        <v>9</v>
      </c>
      <c r="T2" s="1" t="s">
        <v>3</v>
      </c>
      <c r="U2" s="1" t="s">
        <v>4</v>
      </c>
      <c r="V2" s="1" t="s">
        <v>5</v>
      </c>
      <c r="W2" s="4" t="s">
        <v>6</v>
      </c>
    </row>
    <row r="3" spans="1:23" x14ac:dyDescent="0.3">
      <c r="A3" s="5" t="s">
        <v>10</v>
      </c>
      <c r="B3" s="5">
        <v>12</v>
      </c>
      <c r="C3" s="5">
        <v>12</v>
      </c>
      <c r="D3" s="5">
        <v>12</v>
      </c>
      <c r="E3" s="6">
        <v>1</v>
      </c>
      <c r="G3" s="5" t="s">
        <v>10</v>
      </c>
      <c r="H3" s="5">
        <v>16</v>
      </c>
      <c r="I3" s="5">
        <v>16</v>
      </c>
      <c r="J3" s="5">
        <v>14</v>
      </c>
      <c r="K3" s="6">
        <v>0.96</v>
      </c>
      <c r="M3" s="5" t="s">
        <v>10</v>
      </c>
      <c r="N3" s="5">
        <v>18</v>
      </c>
      <c r="O3" s="5">
        <v>18</v>
      </c>
      <c r="P3" s="5">
        <v>18</v>
      </c>
      <c r="Q3" s="6">
        <v>1</v>
      </c>
      <c r="S3" s="5" t="s">
        <v>10</v>
      </c>
      <c r="T3" s="5">
        <v>23</v>
      </c>
      <c r="U3" s="5">
        <v>24</v>
      </c>
      <c r="V3" s="5">
        <v>24</v>
      </c>
      <c r="W3" s="6">
        <v>0.98</v>
      </c>
    </row>
    <row r="4" spans="1:23" x14ac:dyDescent="0.3">
      <c r="A4" s="5" t="s">
        <v>11</v>
      </c>
      <c r="B4" s="5">
        <v>12</v>
      </c>
      <c r="C4" s="5">
        <v>12</v>
      </c>
      <c r="D4" s="5">
        <v>12</v>
      </c>
      <c r="E4" s="7"/>
      <c r="G4" s="5" t="s">
        <v>11</v>
      </c>
      <c r="H4" s="5">
        <v>16</v>
      </c>
      <c r="I4" s="5">
        <v>16</v>
      </c>
      <c r="J4" s="5">
        <v>16</v>
      </c>
      <c r="K4" s="7"/>
      <c r="M4" s="5" t="s">
        <v>11</v>
      </c>
      <c r="N4" s="5">
        <v>18</v>
      </c>
      <c r="O4" s="5">
        <v>18</v>
      </c>
      <c r="P4" s="5">
        <v>18</v>
      </c>
      <c r="Q4" s="7"/>
      <c r="S4" s="5" t="s">
        <v>11</v>
      </c>
      <c r="T4" s="5">
        <v>24</v>
      </c>
      <c r="U4" s="5">
        <v>24</v>
      </c>
      <c r="V4" s="5">
        <v>24</v>
      </c>
      <c r="W4" s="7"/>
    </row>
    <row r="5" spans="1:23" x14ac:dyDescent="0.3">
      <c r="A5" s="5" t="s">
        <v>12</v>
      </c>
      <c r="B5" s="5">
        <v>0</v>
      </c>
      <c r="C5" s="5">
        <v>0</v>
      </c>
      <c r="D5" s="5">
        <v>0</v>
      </c>
      <c r="E5" s="6">
        <v>-1</v>
      </c>
      <c r="G5" s="5" t="s">
        <v>12</v>
      </c>
      <c r="H5" s="5">
        <v>0</v>
      </c>
      <c r="I5" s="5">
        <v>0</v>
      </c>
      <c r="J5" s="5">
        <v>0</v>
      </c>
      <c r="K5" s="6">
        <v>1</v>
      </c>
      <c r="M5" s="5" t="s">
        <v>12</v>
      </c>
      <c r="N5" s="5">
        <v>0</v>
      </c>
      <c r="O5" s="5">
        <v>0</v>
      </c>
      <c r="P5" s="5">
        <v>0</v>
      </c>
      <c r="Q5" s="6">
        <v>1</v>
      </c>
      <c r="S5" s="5" t="s">
        <v>12</v>
      </c>
      <c r="T5" s="5">
        <v>0</v>
      </c>
      <c r="U5" s="5">
        <v>0</v>
      </c>
      <c r="V5" s="5">
        <v>0</v>
      </c>
      <c r="W5" s="6">
        <v>1</v>
      </c>
    </row>
    <row r="6" spans="1:23" x14ac:dyDescent="0.3">
      <c r="A6" s="5" t="s">
        <v>13</v>
      </c>
      <c r="B6" s="5">
        <v>12</v>
      </c>
      <c r="C6" s="5">
        <v>12</v>
      </c>
      <c r="D6" s="5">
        <v>12</v>
      </c>
      <c r="E6" s="7"/>
      <c r="G6" s="5" t="s">
        <v>13</v>
      </c>
      <c r="H6" s="5">
        <v>0</v>
      </c>
      <c r="I6" s="5">
        <v>0</v>
      </c>
      <c r="J6" s="5">
        <v>0</v>
      </c>
      <c r="K6" s="7"/>
      <c r="M6" s="5" t="s">
        <v>13</v>
      </c>
      <c r="N6" s="5">
        <v>0</v>
      </c>
      <c r="O6" s="5">
        <v>0</v>
      </c>
      <c r="P6" s="5">
        <v>0</v>
      </c>
      <c r="Q6" s="7"/>
      <c r="S6" s="5" t="s">
        <v>13</v>
      </c>
      <c r="T6" s="5">
        <v>0</v>
      </c>
      <c r="U6" s="5">
        <v>0</v>
      </c>
      <c r="V6" s="5">
        <v>0</v>
      </c>
      <c r="W6" s="7"/>
    </row>
    <row r="7" spans="1:23" x14ac:dyDescent="0.3">
      <c r="A7" s="8" t="s">
        <v>14</v>
      </c>
      <c r="B7" s="5">
        <v>12</v>
      </c>
      <c r="C7" s="5">
        <v>24.06</v>
      </c>
      <c r="D7" s="5">
        <v>19.61</v>
      </c>
      <c r="E7" s="5">
        <f>SUM(B7:D7)/3</f>
        <v>18.556666666666668</v>
      </c>
      <c r="G7" s="8" t="s">
        <v>14</v>
      </c>
      <c r="H7" s="5">
        <v>22.02</v>
      </c>
      <c r="I7" s="5">
        <v>22.48</v>
      </c>
      <c r="J7" s="5">
        <v>17.920000000000002</v>
      </c>
      <c r="K7" s="5">
        <f>SUM(H7:J7)/3</f>
        <v>20.806666666666668</v>
      </c>
      <c r="M7" s="8" t="s">
        <v>14</v>
      </c>
      <c r="N7" s="5">
        <v>26.33</v>
      </c>
      <c r="O7" s="5">
        <v>19.420000000000002</v>
      </c>
      <c r="P7" s="5">
        <v>15.2</v>
      </c>
      <c r="Q7" s="5">
        <f t="shared" ref="Q7:Q10" si="0">SUM(N7:P7)/3</f>
        <v>20.316666666666666</v>
      </c>
      <c r="S7" s="8" t="s">
        <v>14</v>
      </c>
      <c r="T7" s="5">
        <v>25.36</v>
      </c>
      <c r="U7" s="5">
        <v>30.77</v>
      </c>
      <c r="V7" s="5">
        <v>33.979999999999997</v>
      </c>
      <c r="W7" s="5">
        <f t="shared" ref="W7:W10" si="1">SUM(T7:V7)/3</f>
        <v>30.036666666666662</v>
      </c>
    </row>
    <row r="8" spans="1:23" x14ac:dyDescent="0.3">
      <c r="A8" s="8" t="s">
        <v>15</v>
      </c>
      <c r="B8" s="5">
        <v>692</v>
      </c>
      <c r="C8" s="9">
        <v>692</v>
      </c>
      <c r="D8" s="5">
        <v>692</v>
      </c>
      <c r="E8" s="5">
        <f>SUM(B8:D8)/3</f>
        <v>692</v>
      </c>
      <c r="G8" s="8" t="s">
        <v>15</v>
      </c>
      <c r="H8" s="5">
        <v>442</v>
      </c>
      <c r="I8" s="5">
        <v>442</v>
      </c>
      <c r="J8" s="5">
        <v>439</v>
      </c>
      <c r="K8" s="5">
        <f t="shared" ref="K8:K10" si="2">SUM(H8:J8)/3</f>
        <v>441</v>
      </c>
      <c r="M8" s="8" t="s">
        <v>15</v>
      </c>
      <c r="N8" s="5">
        <v>730</v>
      </c>
      <c r="O8" s="5">
        <v>730</v>
      </c>
      <c r="P8" s="5">
        <v>730</v>
      </c>
      <c r="Q8" s="5">
        <f t="shared" si="0"/>
        <v>730</v>
      </c>
      <c r="S8" s="8" t="s">
        <v>15</v>
      </c>
      <c r="T8" s="5">
        <v>706</v>
      </c>
      <c r="U8" s="5">
        <v>706</v>
      </c>
      <c r="V8" s="5">
        <v>706</v>
      </c>
      <c r="W8" s="5">
        <f t="shared" si="1"/>
        <v>706</v>
      </c>
    </row>
    <row r="9" spans="1:23" x14ac:dyDescent="0.3">
      <c r="A9" s="8" t="s">
        <v>16</v>
      </c>
      <c r="B9" s="5">
        <v>314</v>
      </c>
      <c r="C9" s="5">
        <v>322</v>
      </c>
      <c r="D9" s="5">
        <v>279</v>
      </c>
      <c r="E9" s="5">
        <f t="shared" ref="E9:E10" si="3">SUM(B9:D9)/3</f>
        <v>305</v>
      </c>
      <c r="G9" s="8" t="s">
        <v>16</v>
      </c>
      <c r="H9" s="5">
        <v>237</v>
      </c>
      <c r="I9" s="5">
        <v>234</v>
      </c>
      <c r="J9" s="5">
        <v>232</v>
      </c>
      <c r="K9" s="5">
        <f t="shared" si="2"/>
        <v>234.33333333333334</v>
      </c>
      <c r="M9" s="8" t="s">
        <v>16</v>
      </c>
      <c r="N9" s="5">
        <v>272</v>
      </c>
      <c r="O9" s="5">
        <v>273</v>
      </c>
      <c r="P9" s="5">
        <v>275</v>
      </c>
      <c r="Q9" s="5">
        <f t="shared" si="0"/>
        <v>273.33333333333331</v>
      </c>
      <c r="S9" s="8" t="s">
        <v>16</v>
      </c>
      <c r="T9" s="5">
        <v>377</v>
      </c>
      <c r="U9" s="5">
        <v>367</v>
      </c>
      <c r="V9" s="5">
        <v>706</v>
      </c>
      <c r="W9" s="5">
        <f t="shared" si="1"/>
        <v>483.33333333333331</v>
      </c>
    </row>
    <row r="10" spans="1:23" x14ac:dyDescent="0.3">
      <c r="A10" s="8" t="s">
        <v>17</v>
      </c>
      <c r="B10" s="5">
        <f>SUM(B8:B9)</f>
        <v>1006</v>
      </c>
      <c r="C10" s="5">
        <f t="shared" ref="C10:D10" si="4">SUM(C8:C9)</f>
        <v>1014</v>
      </c>
      <c r="D10" s="5">
        <f t="shared" si="4"/>
        <v>971</v>
      </c>
      <c r="E10" s="5">
        <f t="shared" si="3"/>
        <v>997</v>
      </c>
      <c r="G10" s="8" t="s">
        <v>17</v>
      </c>
      <c r="H10" s="5">
        <f>SUM(H8:H9)</f>
        <v>679</v>
      </c>
      <c r="I10" s="5">
        <f t="shared" ref="I10:J10" si="5">SUM(I8:I9)</f>
        <v>676</v>
      </c>
      <c r="J10" s="5">
        <f t="shared" si="5"/>
        <v>671</v>
      </c>
      <c r="K10" s="5">
        <f t="shared" si="2"/>
        <v>675.33333333333337</v>
      </c>
      <c r="M10" s="8" t="s">
        <v>17</v>
      </c>
      <c r="N10" s="5">
        <f t="shared" ref="N10:P10" si="6">SUM(N8:N9)</f>
        <v>1002</v>
      </c>
      <c r="O10" s="5">
        <f t="shared" si="6"/>
        <v>1003</v>
      </c>
      <c r="P10" s="5">
        <f t="shared" si="6"/>
        <v>1005</v>
      </c>
      <c r="Q10" s="5">
        <f t="shared" si="0"/>
        <v>1003.3333333333334</v>
      </c>
      <c r="S10" s="8" t="s">
        <v>17</v>
      </c>
      <c r="T10" s="5">
        <f>SUM(T8:T9)</f>
        <v>1083</v>
      </c>
      <c r="U10" s="5">
        <f t="shared" ref="U10:V10" si="7">SUM(U8:U9)</f>
        <v>1073</v>
      </c>
      <c r="V10" s="5">
        <f t="shared" si="7"/>
        <v>1412</v>
      </c>
      <c r="W10" s="5">
        <f t="shared" si="1"/>
        <v>1189.3333333333333</v>
      </c>
    </row>
    <row r="12" spans="1:23" x14ac:dyDescent="0.3">
      <c r="A12" s="1" t="s">
        <v>0</v>
      </c>
      <c r="B12" s="2" t="s">
        <v>1</v>
      </c>
      <c r="C12" s="2"/>
      <c r="D12" s="2"/>
      <c r="E12" s="2"/>
      <c r="G12" s="1" t="s">
        <v>0</v>
      </c>
      <c r="H12" s="2" t="s">
        <v>1</v>
      </c>
      <c r="I12" s="2"/>
      <c r="J12" s="2"/>
      <c r="K12" s="2"/>
      <c r="M12" s="1" t="s">
        <v>0</v>
      </c>
      <c r="N12" s="2" t="s">
        <v>1</v>
      </c>
      <c r="O12" s="2"/>
      <c r="P12" s="2"/>
      <c r="Q12" s="2"/>
    </row>
    <row r="13" spans="1:23" x14ac:dyDescent="0.3">
      <c r="A13" s="3" t="s">
        <v>18</v>
      </c>
      <c r="B13" s="1" t="s">
        <v>3</v>
      </c>
      <c r="C13" s="1" t="s">
        <v>4</v>
      </c>
      <c r="D13" s="1" t="s">
        <v>5</v>
      </c>
      <c r="E13" s="4" t="s">
        <v>6</v>
      </c>
      <c r="G13" s="3" t="s">
        <v>19</v>
      </c>
      <c r="H13" s="1" t="s">
        <v>3</v>
      </c>
      <c r="I13" s="1" t="s">
        <v>4</v>
      </c>
      <c r="J13" s="1" t="s">
        <v>5</v>
      </c>
      <c r="K13" s="4" t="s">
        <v>6</v>
      </c>
      <c r="M13" s="3" t="s">
        <v>20</v>
      </c>
      <c r="N13" s="1" t="s">
        <v>3</v>
      </c>
      <c r="O13" s="1" t="s">
        <v>4</v>
      </c>
      <c r="P13" s="1" t="s">
        <v>5</v>
      </c>
      <c r="Q13" s="4" t="s">
        <v>6</v>
      </c>
    </row>
    <row r="14" spans="1:23" x14ac:dyDescent="0.3">
      <c r="A14" s="5" t="s">
        <v>10</v>
      </c>
      <c r="B14" s="5">
        <v>21</v>
      </c>
      <c r="C14" s="5">
        <v>21</v>
      </c>
      <c r="D14" s="5">
        <v>21</v>
      </c>
      <c r="E14" s="10">
        <v>0.875</v>
      </c>
      <c r="G14" s="5" t="s">
        <v>10</v>
      </c>
      <c r="H14" s="5">
        <v>24</v>
      </c>
      <c r="I14" s="5">
        <v>24</v>
      </c>
      <c r="J14" s="5">
        <v>21</v>
      </c>
      <c r="K14" s="6">
        <v>0.9</v>
      </c>
      <c r="M14" s="5" t="s">
        <v>10</v>
      </c>
      <c r="N14" s="5">
        <v>18</v>
      </c>
      <c r="O14" s="5">
        <v>18</v>
      </c>
      <c r="P14" s="5">
        <v>18</v>
      </c>
      <c r="Q14" s="6">
        <v>1</v>
      </c>
    </row>
    <row r="15" spans="1:23" x14ac:dyDescent="0.3">
      <c r="A15" s="5" t="s">
        <v>11</v>
      </c>
      <c r="B15" s="5">
        <v>24</v>
      </c>
      <c r="C15" s="5">
        <v>24</v>
      </c>
      <c r="D15" s="5">
        <v>24</v>
      </c>
      <c r="E15" s="7"/>
      <c r="G15" s="5" t="s">
        <v>11</v>
      </c>
      <c r="H15" s="5">
        <v>24</v>
      </c>
      <c r="I15" s="5">
        <v>24</v>
      </c>
      <c r="J15" s="5">
        <v>24</v>
      </c>
      <c r="K15" s="7"/>
      <c r="M15" s="5" t="s">
        <v>11</v>
      </c>
      <c r="N15" s="5">
        <v>18</v>
      </c>
      <c r="O15" s="5">
        <v>18</v>
      </c>
      <c r="P15" s="5">
        <v>18</v>
      </c>
      <c r="Q15" s="7"/>
    </row>
    <row r="16" spans="1:23" x14ac:dyDescent="0.3">
      <c r="A16" s="5" t="s">
        <v>12</v>
      </c>
      <c r="B16" s="5">
        <v>3</v>
      </c>
      <c r="C16" s="5">
        <v>3</v>
      </c>
      <c r="D16" s="5">
        <v>3</v>
      </c>
      <c r="E16" s="6">
        <v>-3</v>
      </c>
      <c r="G16" s="5" t="s">
        <v>12</v>
      </c>
      <c r="H16" s="5">
        <v>0</v>
      </c>
      <c r="I16" s="5">
        <v>0</v>
      </c>
      <c r="J16" s="5">
        <v>0</v>
      </c>
      <c r="K16" s="6">
        <v>1</v>
      </c>
      <c r="M16" s="5" t="s">
        <v>12</v>
      </c>
      <c r="N16" s="5">
        <v>0</v>
      </c>
      <c r="O16" s="5">
        <v>0</v>
      </c>
      <c r="P16" s="5">
        <v>0</v>
      </c>
      <c r="Q16" s="6">
        <v>1</v>
      </c>
    </row>
    <row r="17" spans="1:17" x14ac:dyDescent="0.3">
      <c r="A17" s="5" t="s">
        <v>13</v>
      </c>
      <c r="B17" s="5">
        <v>0</v>
      </c>
      <c r="C17" s="5">
        <v>0</v>
      </c>
      <c r="D17" s="5">
        <v>0</v>
      </c>
      <c r="E17" s="7"/>
      <c r="G17" s="5" t="s">
        <v>13</v>
      </c>
      <c r="H17" s="5">
        <v>0</v>
      </c>
      <c r="I17" s="5">
        <v>0</v>
      </c>
      <c r="J17" s="5">
        <v>0</v>
      </c>
      <c r="K17" s="7"/>
      <c r="M17" s="5" t="s">
        <v>13</v>
      </c>
      <c r="N17" s="5">
        <v>0</v>
      </c>
      <c r="O17" s="5">
        <v>0</v>
      </c>
      <c r="P17" s="5">
        <v>0</v>
      </c>
      <c r="Q17" s="7"/>
    </row>
    <row r="18" spans="1:17" ht="15.6" x14ac:dyDescent="0.3">
      <c r="A18" s="8" t="s">
        <v>14</v>
      </c>
      <c r="B18" s="5">
        <v>24.02</v>
      </c>
      <c r="C18" s="5">
        <v>18.760000000000002</v>
      </c>
      <c r="D18" s="5">
        <v>27.11</v>
      </c>
      <c r="E18" s="5">
        <f>SUM(B18:D18)/3</f>
        <v>23.296666666666667</v>
      </c>
      <c r="G18" s="8" t="s">
        <v>14</v>
      </c>
      <c r="H18" s="11">
        <v>57.74</v>
      </c>
      <c r="I18" s="5">
        <v>28.06</v>
      </c>
      <c r="J18" s="5">
        <v>31.91</v>
      </c>
      <c r="K18" s="5">
        <f>SUM(H18:J18)/3</f>
        <v>39.236666666666665</v>
      </c>
      <c r="M18" s="8" t="s">
        <v>14</v>
      </c>
      <c r="N18" s="5">
        <v>21.6</v>
      </c>
      <c r="O18" s="5">
        <v>26.01</v>
      </c>
      <c r="P18" s="5">
        <v>17.52</v>
      </c>
      <c r="Q18" s="5">
        <f>SUM(N18:P18)/3</f>
        <v>21.709999999999997</v>
      </c>
    </row>
    <row r="19" spans="1:17" x14ac:dyDescent="0.3">
      <c r="A19" s="8" t="s">
        <v>15</v>
      </c>
      <c r="B19" s="5">
        <v>443</v>
      </c>
      <c r="C19" s="5">
        <v>443</v>
      </c>
      <c r="D19" s="5">
        <v>443</v>
      </c>
      <c r="E19" s="5">
        <f t="shared" ref="E19:E21" si="8">SUM(B19:D19)/3</f>
        <v>443</v>
      </c>
      <c r="G19" s="8" t="s">
        <v>15</v>
      </c>
      <c r="H19" s="5">
        <v>469</v>
      </c>
      <c r="I19" s="5">
        <v>421</v>
      </c>
      <c r="J19" s="5">
        <v>421</v>
      </c>
      <c r="K19" s="5">
        <f t="shared" ref="K19:K21" si="9">SUM(H19:J19)/3</f>
        <v>437</v>
      </c>
      <c r="M19" s="8" t="s">
        <v>15</v>
      </c>
      <c r="N19" s="5">
        <v>670</v>
      </c>
      <c r="O19" s="5">
        <v>670</v>
      </c>
      <c r="P19" s="5">
        <v>670</v>
      </c>
      <c r="Q19" s="5">
        <f t="shared" ref="Q19:Q21" si="10">SUM(N19:P19)/3</f>
        <v>670</v>
      </c>
    </row>
    <row r="20" spans="1:17" ht="15.6" x14ac:dyDescent="0.3">
      <c r="A20" s="8" t="s">
        <v>16</v>
      </c>
      <c r="B20" s="5">
        <v>323</v>
      </c>
      <c r="C20" s="5">
        <v>294</v>
      </c>
      <c r="D20" s="5">
        <v>319</v>
      </c>
      <c r="E20" s="5">
        <f t="shared" si="8"/>
        <v>312</v>
      </c>
      <c r="G20" s="8" t="s">
        <v>16</v>
      </c>
      <c r="H20" s="11">
        <v>378</v>
      </c>
      <c r="I20" s="5">
        <v>383</v>
      </c>
      <c r="J20" s="5">
        <v>397</v>
      </c>
      <c r="K20" s="5">
        <f t="shared" si="9"/>
        <v>386</v>
      </c>
      <c r="M20" s="8" t="s">
        <v>16</v>
      </c>
      <c r="N20" s="5">
        <v>334</v>
      </c>
      <c r="O20" s="5">
        <v>346</v>
      </c>
      <c r="P20" s="5">
        <v>329</v>
      </c>
      <c r="Q20" s="5">
        <f t="shared" si="10"/>
        <v>336.33333333333331</v>
      </c>
    </row>
    <row r="21" spans="1:17" x14ac:dyDescent="0.3">
      <c r="A21" s="8" t="s">
        <v>17</v>
      </c>
      <c r="B21" s="5">
        <f>SUM(B19:B20)</f>
        <v>766</v>
      </c>
      <c r="C21" s="5">
        <f>SUM(C19:C20)</f>
        <v>737</v>
      </c>
      <c r="D21" s="5">
        <f>SUM(D19:D20)</f>
        <v>762</v>
      </c>
      <c r="E21" s="5">
        <f t="shared" si="8"/>
        <v>755</v>
      </c>
      <c r="G21" s="8" t="s">
        <v>17</v>
      </c>
      <c r="H21" s="5">
        <f t="shared" ref="H21" si="11">SUM(H19:H20)</f>
        <v>847</v>
      </c>
      <c r="I21" s="5">
        <f>SUM(I19:I20)</f>
        <v>804</v>
      </c>
      <c r="J21" s="5">
        <f>SUM(J19:J20)</f>
        <v>818</v>
      </c>
      <c r="K21" s="5">
        <f t="shared" si="9"/>
        <v>823</v>
      </c>
      <c r="M21" s="8" t="s">
        <v>17</v>
      </c>
      <c r="N21" s="5">
        <f t="shared" ref="N21:P21" si="12">SUM(N19:N20)</f>
        <v>1004</v>
      </c>
      <c r="O21" s="5">
        <f t="shared" si="12"/>
        <v>1016</v>
      </c>
      <c r="P21" s="5">
        <f t="shared" si="12"/>
        <v>999</v>
      </c>
      <c r="Q21" s="5">
        <f t="shared" si="10"/>
        <v>1006.3333333333334</v>
      </c>
    </row>
    <row r="23" spans="1:17" x14ac:dyDescent="0.3">
      <c r="A23" s="1" t="s">
        <v>0</v>
      </c>
      <c r="B23" s="2" t="s">
        <v>1</v>
      </c>
      <c r="C23" s="2"/>
      <c r="D23" s="2"/>
      <c r="E23" s="2"/>
      <c r="G23" s="1" t="s">
        <v>0</v>
      </c>
      <c r="H23" s="2" t="s">
        <v>1</v>
      </c>
      <c r="I23" s="2"/>
      <c r="J23" s="2"/>
      <c r="K23" s="2"/>
      <c r="M23" s="1" t="s">
        <v>0</v>
      </c>
      <c r="N23" s="2" t="s">
        <v>1</v>
      </c>
      <c r="O23" s="2"/>
      <c r="P23" s="2"/>
      <c r="Q23" s="2"/>
    </row>
    <row r="24" spans="1:17" x14ac:dyDescent="0.3">
      <c r="A24" s="3" t="s">
        <v>21</v>
      </c>
      <c r="B24" s="1" t="s">
        <v>3</v>
      </c>
      <c r="C24" s="1" t="s">
        <v>4</v>
      </c>
      <c r="D24" s="1" t="s">
        <v>5</v>
      </c>
      <c r="E24" s="4" t="s">
        <v>6</v>
      </c>
      <c r="G24" s="3" t="s">
        <v>22</v>
      </c>
      <c r="H24" s="1" t="s">
        <v>3</v>
      </c>
      <c r="I24" s="1" t="s">
        <v>4</v>
      </c>
      <c r="J24" s="1" t="s">
        <v>5</v>
      </c>
      <c r="K24" s="4" t="s">
        <v>6</v>
      </c>
      <c r="M24" s="3" t="s">
        <v>23</v>
      </c>
      <c r="N24" s="1" t="s">
        <v>3</v>
      </c>
      <c r="O24" s="1" t="s">
        <v>4</v>
      </c>
      <c r="P24" s="1" t="s">
        <v>5</v>
      </c>
      <c r="Q24" s="4" t="s">
        <v>6</v>
      </c>
    </row>
    <row r="25" spans="1:17" x14ac:dyDescent="0.3">
      <c r="A25" s="5" t="s">
        <v>10</v>
      </c>
      <c r="B25" s="5">
        <v>21</v>
      </c>
      <c r="C25" s="5">
        <v>21</v>
      </c>
      <c r="D25" s="5">
        <v>21</v>
      </c>
      <c r="E25" s="6">
        <v>1</v>
      </c>
      <c r="G25" s="5" t="s">
        <v>10</v>
      </c>
      <c r="H25" s="5">
        <v>14</v>
      </c>
      <c r="I25" s="5">
        <v>14</v>
      </c>
      <c r="J25" s="5">
        <v>14</v>
      </c>
      <c r="K25" s="6">
        <v>1</v>
      </c>
      <c r="M25" s="5" t="s">
        <v>10</v>
      </c>
      <c r="N25" s="5">
        <v>18</v>
      </c>
      <c r="O25" s="5">
        <v>18</v>
      </c>
      <c r="P25" s="5">
        <v>17</v>
      </c>
      <c r="Q25" s="6">
        <v>0.98</v>
      </c>
    </row>
    <row r="26" spans="1:17" x14ac:dyDescent="0.3">
      <c r="A26" s="5" t="s">
        <v>11</v>
      </c>
      <c r="B26" s="5">
        <v>21</v>
      </c>
      <c r="C26" s="5">
        <v>21</v>
      </c>
      <c r="D26" s="5">
        <v>21</v>
      </c>
      <c r="E26" s="7"/>
      <c r="G26" s="5" t="s">
        <v>11</v>
      </c>
      <c r="H26" s="5">
        <v>14</v>
      </c>
      <c r="I26" s="5">
        <v>14</v>
      </c>
      <c r="J26" s="5">
        <v>14</v>
      </c>
      <c r="K26" s="7"/>
      <c r="M26" s="5" t="s">
        <v>11</v>
      </c>
      <c r="N26" s="5">
        <v>18</v>
      </c>
      <c r="O26" s="5">
        <v>18</v>
      </c>
      <c r="P26" s="5">
        <v>18</v>
      </c>
      <c r="Q26" s="7"/>
    </row>
    <row r="27" spans="1:17" x14ac:dyDescent="0.3">
      <c r="A27" s="5" t="s">
        <v>12</v>
      </c>
      <c r="B27" s="5">
        <v>3</v>
      </c>
      <c r="C27" s="5">
        <v>3</v>
      </c>
      <c r="D27" s="5">
        <v>3</v>
      </c>
      <c r="E27" s="6">
        <v>1</v>
      </c>
      <c r="G27" s="5" t="s">
        <v>12</v>
      </c>
      <c r="H27" s="5">
        <v>2</v>
      </c>
      <c r="I27" s="5">
        <v>2</v>
      </c>
      <c r="J27" s="5">
        <v>2</v>
      </c>
      <c r="K27" s="6">
        <v>1</v>
      </c>
      <c r="M27" s="5" t="s">
        <v>12</v>
      </c>
      <c r="N27" s="5">
        <v>0</v>
      </c>
      <c r="O27" s="5">
        <v>0</v>
      </c>
      <c r="P27" s="5">
        <v>0</v>
      </c>
      <c r="Q27" s="6">
        <v>1</v>
      </c>
    </row>
    <row r="28" spans="1:17" x14ac:dyDescent="0.3">
      <c r="A28" s="5" t="s">
        <v>13</v>
      </c>
      <c r="B28" s="5">
        <v>3</v>
      </c>
      <c r="C28" s="5">
        <v>3</v>
      </c>
      <c r="D28" s="5">
        <v>3</v>
      </c>
      <c r="E28" s="7"/>
      <c r="G28" s="5" t="s">
        <v>13</v>
      </c>
      <c r="H28" s="5">
        <v>2</v>
      </c>
      <c r="I28" s="5">
        <v>2</v>
      </c>
      <c r="J28" s="5">
        <v>2</v>
      </c>
      <c r="K28" s="7"/>
      <c r="M28" s="5" t="s">
        <v>13</v>
      </c>
      <c r="N28" s="5">
        <v>0</v>
      </c>
      <c r="O28" s="5">
        <v>0</v>
      </c>
      <c r="P28" s="5">
        <v>0</v>
      </c>
      <c r="Q28" s="7"/>
    </row>
    <row r="29" spans="1:17" x14ac:dyDescent="0.3">
      <c r="A29" s="8" t="s">
        <v>14</v>
      </c>
      <c r="B29" s="5">
        <v>14.57</v>
      </c>
      <c r="C29" s="5">
        <v>16.34</v>
      </c>
      <c r="D29" s="5">
        <v>17.66</v>
      </c>
      <c r="E29" s="5">
        <f>SUM(B29:D29)/3</f>
        <v>16.190000000000001</v>
      </c>
      <c r="G29" s="8" t="s">
        <v>14</v>
      </c>
      <c r="H29" s="5">
        <v>16.510000000000002</v>
      </c>
      <c r="I29" s="5">
        <v>19.239999999999998</v>
      </c>
      <c r="J29" s="5">
        <v>18.77</v>
      </c>
      <c r="K29" s="5">
        <f>SUM(H29:J29)/3</f>
        <v>18.173333333333332</v>
      </c>
      <c r="M29" s="8" t="s">
        <v>14</v>
      </c>
      <c r="N29" s="5">
        <v>20.100000000000001</v>
      </c>
      <c r="O29" s="5">
        <v>27.41</v>
      </c>
      <c r="P29" s="5">
        <v>23.18</v>
      </c>
      <c r="Q29" s="5">
        <f t="shared" ref="Q29:Q32" si="13">SUM(N29:P29)/3</f>
        <v>23.563333333333333</v>
      </c>
    </row>
    <row r="30" spans="1:17" x14ac:dyDescent="0.3">
      <c r="A30" s="8" t="s">
        <v>15</v>
      </c>
      <c r="B30" s="5">
        <v>442</v>
      </c>
      <c r="C30" s="5">
        <v>442</v>
      </c>
      <c r="D30" s="5">
        <v>442</v>
      </c>
      <c r="E30" s="5">
        <f t="shared" ref="E30:E32" si="14">SUM(B30:D30)/3</f>
        <v>442</v>
      </c>
      <c r="G30" s="8" t="s">
        <v>15</v>
      </c>
      <c r="H30" s="5">
        <v>465</v>
      </c>
      <c r="I30" s="5">
        <v>465</v>
      </c>
      <c r="J30" s="5">
        <v>465</v>
      </c>
      <c r="K30" s="5">
        <f t="shared" ref="K30:K32" si="15">SUM(H30:J30)/3</f>
        <v>465</v>
      </c>
      <c r="M30" s="8" t="s">
        <v>15</v>
      </c>
      <c r="N30" s="5">
        <v>690</v>
      </c>
      <c r="O30" s="5">
        <v>690</v>
      </c>
      <c r="P30" s="5">
        <v>690</v>
      </c>
      <c r="Q30" s="5">
        <f t="shared" si="13"/>
        <v>690</v>
      </c>
    </row>
    <row r="31" spans="1:17" x14ac:dyDescent="0.3">
      <c r="A31" s="8" t="s">
        <v>16</v>
      </c>
      <c r="B31" s="5">
        <v>278</v>
      </c>
      <c r="C31" s="5">
        <v>278</v>
      </c>
      <c r="D31" s="5">
        <v>273</v>
      </c>
      <c r="E31" s="5">
        <f t="shared" si="14"/>
        <v>276.33333333333331</v>
      </c>
      <c r="G31" s="8" t="s">
        <v>16</v>
      </c>
      <c r="H31" s="5">
        <v>192</v>
      </c>
      <c r="I31" s="5">
        <v>240</v>
      </c>
      <c r="J31" s="5">
        <v>239</v>
      </c>
      <c r="K31" s="5">
        <f t="shared" si="15"/>
        <v>223.66666666666666</v>
      </c>
      <c r="M31" s="8" t="s">
        <v>16</v>
      </c>
      <c r="N31" s="5">
        <v>350</v>
      </c>
      <c r="O31" s="5">
        <v>328</v>
      </c>
      <c r="P31" s="5">
        <v>335</v>
      </c>
      <c r="Q31" s="5">
        <f t="shared" si="13"/>
        <v>337.66666666666669</v>
      </c>
    </row>
    <row r="32" spans="1:17" x14ac:dyDescent="0.3">
      <c r="A32" s="8" t="s">
        <v>17</v>
      </c>
      <c r="B32" s="5">
        <f>SUM(B30:B31)</f>
        <v>720</v>
      </c>
      <c r="C32" s="5">
        <f t="shared" ref="C32:D32" si="16">SUM(C30:C31)</f>
        <v>720</v>
      </c>
      <c r="D32" s="5">
        <f t="shared" si="16"/>
        <v>715</v>
      </c>
      <c r="E32" s="5">
        <f t="shared" si="14"/>
        <v>718.33333333333337</v>
      </c>
      <c r="G32" s="8" t="s">
        <v>17</v>
      </c>
      <c r="H32" s="5">
        <f t="shared" ref="H32:J32" si="17">SUM(H30:H31)</f>
        <v>657</v>
      </c>
      <c r="I32" s="5">
        <f t="shared" si="17"/>
        <v>705</v>
      </c>
      <c r="J32" s="5">
        <f t="shared" si="17"/>
        <v>704</v>
      </c>
      <c r="K32" s="5">
        <f t="shared" si="15"/>
        <v>688.66666666666663</v>
      </c>
      <c r="M32" s="8" t="s">
        <v>17</v>
      </c>
      <c r="N32" s="5">
        <f t="shared" ref="N32:P32" si="18">SUM(N30:N31)</f>
        <v>1040</v>
      </c>
      <c r="O32" s="5">
        <f t="shared" si="18"/>
        <v>1018</v>
      </c>
      <c r="P32" s="5">
        <f t="shared" si="18"/>
        <v>1025</v>
      </c>
      <c r="Q32" s="5">
        <f t="shared" si="13"/>
        <v>1027.6666666666667</v>
      </c>
    </row>
  </sheetData>
  <mergeCells count="30">
    <mergeCell ref="E27:E28"/>
    <mergeCell ref="K27:K28"/>
    <mergeCell ref="Q27:Q28"/>
    <mergeCell ref="B23:E23"/>
    <mergeCell ref="H23:K23"/>
    <mergeCell ref="N23:Q23"/>
    <mergeCell ref="E25:E26"/>
    <mergeCell ref="K25:K26"/>
    <mergeCell ref="Q25:Q26"/>
    <mergeCell ref="E14:E15"/>
    <mergeCell ref="K14:K15"/>
    <mergeCell ref="Q14:Q15"/>
    <mergeCell ref="E16:E17"/>
    <mergeCell ref="K16:K17"/>
    <mergeCell ref="Q16:Q17"/>
    <mergeCell ref="E5:E6"/>
    <mergeCell ref="K5:K6"/>
    <mergeCell ref="Q5:Q6"/>
    <mergeCell ref="W5:W6"/>
    <mergeCell ref="B12:E12"/>
    <mergeCell ref="H12:K12"/>
    <mergeCell ref="N12:Q12"/>
    <mergeCell ref="B1:E1"/>
    <mergeCell ref="H1:K1"/>
    <mergeCell ref="N1:Q1"/>
    <mergeCell ref="T1:W1"/>
    <mergeCell ref="E3:E4"/>
    <mergeCell ref="K3:K4"/>
    <mergeCell ref="Q3:Q4"/>
    <mergeCell ref="W3:W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yap zhan hong</dc:creator>
  <cp:lastModifiedBy>yap zhan hong</cp:lastModifiedBy>
  <dcterms:created xsi:type="dcterms:W3CDTF">2025-11-11T16:55:49Z</dcterms:created>
  <dcterms:modified xsi:type="dcterms:W3CDTF">2025-11-11T16:56:32Z</dcterms:modified>
</cp:coreProperties>
</file>